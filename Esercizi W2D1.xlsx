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lvatoremartino/Desktop/doc gian/Data Analyst/"/>
    </mc:Choice>
  </mc:AlternateContent>
  <xr:revisionPtr revIDLastSave="0" documentId="8_{B4FD4529-B9B5-8841-A558-55CA853BA757}" xr6:coauthVersionLast="47" xr6:coauthVersionMax="47" xr10:uidLastSave="{00000000-0000-0000-0000-000000000000}"/>
  <bookViews>
    <workbookView xWindow="780" yWindow="1000" windowWidth="27640" windowHeight="15840" xr2:uid="{860809A1-882A-5B4A-B76B-1BC92418B20C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M28" i="1"/>
  <c r="M26" i="1"/>
  <c r="B20" i="1"/>
  <c r="B19" i="1"/>
  <c r="M18" i="1"/>
  <c r="M17" i="1"/>
  <c r="B17" i="1"/>
  <c r="M15" i="1"/>
  <c r="M13" i="1"/>
  <c r="M12" i="1"/>
  <c r="M10" i="1"/>
  <c r="M7" i="1"/>
  <c r="M6" i="1"/>
  <c r="M4" i="1"/>
</calcChain>
</file>

<file path=xl/sharedStrings.xml><?xml version="1.0" encoding="utf-8"?>
<sst xmlns="http://schemas.openxmlformats.org/spreadsheetml/2006/main" count="58" uniqueCount="32">
  <si>
    <t>Dati del Campione</t>
  </si>
  <si>
    <t>Esercizio 4</t>
  </si>
  <si>
    <t>Calcola l'intervallo al 90, 95 e 99 sullo stesso campione e confronta le ampiezze</t>
  </si>
  <si>
    <t>Media</t>
  </si>
  <si>
    <t>Dev. Std</t>
  </si>
  <si>
    <t>Conf.Norm</t>
  </si>
  <si>
    <t>Campione</t>
  </si>
  <si>
    <t>Confidenza</t>
  </si>
  <si>
    <t>Lim Inf</t>
  </si>
  <si>
    <t>Meno certo</t>
  </si>
  <si>
    <t>Alfa</t>
  </si>
  <si>
    <t>Lim Sup</t>
  </si>
  <si>
    <t>intervallo più stretto</t>
  </si>
  <si>
    <t>Esercizio 1</t>
  </si>
  <si>
    <t>Calcola la media campionaria come stima puntuale (Media)</t>
  </si>
  <si>
    <t>Media:</t>
  </si>
  <si>
    <t>Stima Punt.</t>
  </si>
  <si>
    <t>Lim inf</t>
  </si>
  <si>
    <t>Lim sup</t>
  </si>
  <si>
    <t>Esercizio 2</t>
  </si>
  <si>
    <t>Calcola il margine di errore al 95% con CONF.NORM e scrivi l'intervallo</t>
  </si>
  <si>
    <t>lim inf</t>
  </si>
  <si>
    <t>Più certo</t>
  </si>
  <si>
    <t>lim sup</t>
  </si>
  <si>
    <t>Intervallo più ampio</t>
  </si>
  <si>
    <t>Intervallo</t>
  </si>
  <si>
    <t>Esercizio 3</t>
  </si>
  <si>
    <t>Interpreta a parole l'intervallo ottenuto senza l'errore comune</t>
  </si>
  <si>
    <t>Esercizio 5</t>
  </si>
  <si>
    <t>Porta n da 81 a 324 e vertifica che il margine si dimezza, perché?</t>
  </si>
  <si>
    <t>Vuol dire esser sicuri al 95% che la reale media della popolazione è tra 50 e 53</t>
  </si>
  <si>
    <t>Campione più ampio maggiore precisione attorno alla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</si>
</sst>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9" fontId="0" fillId="0" borderId="0" xfId="0" applyNumberForma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C4B2-9393-FB47-8A09-546639E3103A}">
  <dimension ref="A1:O34"/>
  <sheetViews>
    <sheetView tabSelected="1" workbookViewId="0">
      <selection activeCell="B20" sqref="B20"/>
    </sheetView>
  </sheetViews>
  <sheetFormatPr baseColWidth="10" defaultRowHeight="16" x14ac:dyDescent="0.2"/>
  <sheetData>
    <row r="1" spans="1:15" ht="17" thickBot="1" x14ac:dyDescent="0.25">
      <c r="A1" s="1" t="s">
        <v>0</v>
      </c>
      <c r="B1" s="2"/>
      <c r="C1" s="3"/>
      <c r="I1" s="4" t="s">
        <v>1</v>
      </c>
      <c r="J1" s="5" t="s">
        <v>2</v>
      </c>
      <c r="K1" s="5"/>
      <c r="L1" s="5"/>
      <c r="M1" s="5"/>
      <c r="N1" s="5"/>
      <c r="O1" s="6"/>
    </row>
    <row r="2" spans="1:15" x14ac:dyDescent="0.2">
      <c r="A2" s="7"/>
      <c r="C2" s="8"/>
      <c r="I2" s="9"/>
      <c r="J2" s="10"/>
      <c r="K2" s="10"/>
      <c r="L2" s="10"/>
      <c r="M2" s="10"/>
      <c r="N2" s="10"/>
      <c r="O2" s="11"/>
    </row>
    <row r="3" spans="1:15" x14ac:dyDescent="0.2">
      <c r="A3" s="7" t="s">
        <v>3</v>
      </c>
      <c r="B3">
        <v>52</v>
      </c>
      <c r="C3" s="8"/>
      <c r="I3" s="12" t="s">
        <v>3</v>
      </c>
      <c r="J3">
        <v>52</v>
      </c>
      <c r="O3" s="13"/>
    </row>
    <row r="4" spans="1:15" x14ac:dyDescent="0.2">
      <c r="A4" s="7" t="s">
        <v>4</v>
      </c>
      <c r="B4">
        <v>9</v>
      </c>
      <c r="C4" s="8"/>
      <c r="I4" s="12" t="s">
        <v>4</v>
      </c>
      <c r="J4">
        <v>9</v>
      </c>
      <c r="L4" t="s">
        <v>5</v>
      </c>
      <c r="M4">
        <f>_xlfn.CONFIDENCE.NORM(J7,J4,J5)</f>
        <v>1.6448536269514715</v>
      </c>
      <c r="O4" s="13"/>
    </row>
    <row r="5" spans="1:15" x14ac:dyDescent="0.2">
      <c r="A5" s="7" t="s">
        <v>6</v>
      </c>
      <c r="B5">
        <v>81</v>
      </c>
      <c r="C5" s="8"/>
      <c r="I5" s="12" t="s">
        <v>6</v>
      </c>
      <c r="J5">
        <v>81</v>
      </c>
      <c r="O5" s="13"/>
    </row>
    <row r="6" spans="1:15" x14ac:dyDescent="0.2">
      <c r="A6" s="7" t="s">
        <v>7</v>
      </c>
      <c r="B6" s="14">
        <v>0.95</v>
      </c>
      <c r="C6" s="8"/>
      <c r="I6" s="12" t="s">
        <v>7</v>
      </c>
      <c r="J6" s="14">
        <v>0.9</v>
      </c>
      <c r="L6" t="s">
        <v>8</v>
      </c>
      <c r="M6">
        <f>52-1.64</f>
        <v>50.36</v>
      </c>
      <c r="N6" t="s">
        <v>9</v>
      </c>
      <c r="O6" s="13"/>
    </row>
    <row r="7" spans="1:15" ht="17" thickBot="1" x14ac:dyDescent="0.25">
      <c r="A7" s="15"/>
      <c r="B7" s="16"/>
      <c r="C7" s="17"/>
      <c r="I7" s="12" t="s">
        <v>10</v>
      </c>
      <c r="J7">
        <v>0.1</v>
      </c>
      <c r="L7" t="s">
        <v>11</v>
      </c>
      <c r="M7">
        <f>52+1.64</f>
        <v>53.64</v>
      </c>
      <c r="N7" t="s">
        <v>12</v>
      </c>
      <c r="O7" s="13"/>
    </row>
    <row r="8" spans="1:15" ht="17" thickBot="1" x14ac:dyDescent="0.25">
      <c r="I8" s="12"/>
      <c r="O8" s="13"/>
    </row>
    <row r="9" spans="1:15" ht="17" thickBot="1" x14ac:dyDescent="0.25">
      <c r="A9" s="1" t="s">
        <v>13</v>
      </c>
      <c r="B9" s="2" t="s">
        <v>14</v>
      </c>
      <c r="C9" s="2"/>
      <c r="D9" s="2"/>
      <c r="E9" s="2"/>
      <c r="F9" s="3"/>
      <c r="I9" s="12" t="s">
        <v>3</v>
      </c>
      <c r="J9">
        <v>52</v>
      </c>
      <c r="O9" s="13"/>
    </row>
    <row r="10" spans="1:15" x14ac:dyDescent="0.2">
      <c r="A10" s="18"/>
      <c r="B10" s="19"/>
      <c r="C10" s="19"/>
      <c r="D10" s="19"/>
      <c r="E10" s="19"/>
      <c r="F10" s="20"/>
      <c r="I10" s="12" t="s">
        <v>4</v>
      </c>
      <c r="J10">
        <v>9</v>
      </c>
      <c r="L10" t="s">
        <v>5</v>
      </c>
      <c r="M10">
        <f>_xlfn.CONFIDENCE.NORM(J13,J10,J11)</f>
        <v>1.9599639845400536</v>
      </c>
      <c r="O10" s="13"/>
    </row>
    <row r="11" spans="1:15" x14ac:dyDescent="0.2">
      <c r="A11" s="7" t="s">
        <v>15</v>
      </c>
      <c r="B11">
        <v>52</v>
      </c>
      <c r="F11" s="8"/>
      <c r="I11" s="12" t="s">
        <v>6</v>
      </c>
      <c r="J11">
        <v>81</v>
      </c>
      <c r="O11" s="13"/>
    </row>
    <row r="12" spans="1:15" ht="17" thickBot="1" x14ac:dyDescent="0.25">
      <c r="A12" s="15" t="s">
        <v>16</v>
      </c>
      <c r="B12" s="16">
        <v>52</v>
      </c>
      <c r="C12" s="16"/>
      <c r="D12" s="16"/>
      <c r="E12" s="16"/>
      <c r="F12" s="17"/>
      <c r="I12" s="12" t="s">
        <v>7</v>
      </c>
      <c r="J12" s="14">
        <v>0.95</v>
      </c>
      <c r="L12" t="s">
        <v>17</v>
      </c>
      <c r="M12">
        <f>52-1.96</f>
        <v>50.04</v>
      </c>
      <c r="O12" s="13"/>
    </row>
    <row r="13" spans="1:15" ht="17" thickBot="1" x14ac:dyDescent="0.25">
      <c r="I13" s="12" t="s">
        <v>10</v>
      </c>
      <c r="J13">
        <v>0.05</v>
      </c>
      <c r="L13" t="s">
        <v>18</v>
      </c>
      <c r="M13">
        <f>52+1.96</f>
        <v>53.96</v>
      </c>
      <c r="O13" s="13"/>
    </row>
    <row r="14" spans="1:15" ht="17" thickBot="1" x14ac:dyDescent="0.25">
      <c r="A14" s="1" t="s">
        <v>19</v>
      </c>
      <c r="B14" s="2" t="s">
        <v>20</v>
      </c>
      <c r="C14" s="2"/>
      <c r="D14" s="2"/>
      <c r="E14" s="2"/>
      <c r="F14" s="2"/>
      <c r="G14" s="3"/>
      <c r="I14" s="12"/>
      <c r="O14" s="13"/>
    </row>
    <row r="15" spans="1:15" x14ac:dyDescent="0.2">
      <c r="A15" s="18"/>
      <c r="B15" s="19"/>
      <c r="C15" s="19"/>
      <c r="D15" s="19"/>
      <c r="E15" s="19"/>
      <c r="F15" s="19"/>
      <c r="G15" s="20"/>
      <c r="I15" s="12" t="s">
        <v>3</v>
      </c>
      <c r="J15">
        <v>52</v>
      </c>
      <c r="L15" t="s">
        <v>5</v>
      </c>
      <c r="M15">
        <f>_xlfn.CONFIDENCE.NORM(J19,J16,J17)</f>
        <v>2.5758293035488999</v>
      </c>
      <c r="O15" s="13"/>
    </row>
    <row r="16" spans="1:15" x14ac:dyDescent="0.2">
      <c r="A16" s="7" t="s">
        <v>10</v>
      </c>
      <c r="B16">
        <v>0.05</v>
      </c>
      <c r="G16" s="8"/>
      <c r="I16" s="12" t="s">
        <v>4</v>
      </c>
      <c r="J16">
        <v>9</v>
      </c>
      <c r="O16" s="13"/>
    </row>
    <row r="17" spans="1:15" x14ac:dyDescent="0.2">
      <c r="A17" s="7" t="s">
        <v>5</v>
      </c>
      <c r="B17">
        <f>_xlfn.CONFIDENCE.NORM(B16,B4,B5)</f>
        <v>1.9599639845400536</v>
      </c>
      <c r="G17" s="8"/>
      <c r="I17" s="12" t="s">
        <v>6</v>
      </c>
      <c r="J17">
        <v>81</v>
      </c>
      <c r="L17" t="s">
        <v>21</v>
      </c>
      <c r="M17">
        <f>52-2.57</f>
        <v>49.43</v>
      </c>
      <c r="N17" t="s">
        <v>22</v>
      </c>
      <c r="O17" s="13"/>
    </row>
    <row r="18" spans="1:15" x14ac:dyDescent="0.2">
      <c r="A18" s="7"/>
      <c r="G18" s="8"/>
      <c r="I18" s="12" t="s">
        <v>7</v>
      </c>
      <c r="J18" s="14">
        <v>0.99</v>
      </c>
      <c r="L18" t="s">
        <v>23</v>
      </c>
      <c r="M18">
        <f>52+2.57</f>
        <v>54.57</v>
      </c>
      <c r="N18" t="s">
        <v>24</v>
      </c>
      <c r="O18" s="13"/>
    </row>
    <row r="19" spans="1:15" x14ac:dyDescent="0.2">
      <c r="A19" s="7" t="s">
        <v>25</v>
      </c>
      <c r="B19">
        <f>52-1.96</f>
        <v>50.04</v>
      </c>
      <c r="G19" s="8"/>
      <c r="I19" s="12" t="s">
        <v>10</v>
      </c>
      <c r="J19">
        <v>0.01</v>
      </c>
      <c r="O19" s="13"/>
    </row>
    <row r="20" spans="1:15" x14ac:dyDescent="0.2">
      <c r="A20" s="7"/>
      <c r="B20">
        <f>52+1.96</f>
        <v>53.96</v>
      </c>
      <c r="G20" s="8"/>
      <c r="I20" s="12"/>
      <c r="O20" s="13"/>
    </row>
    <row r="21" spans="1:15" ht="17" thickBot="1" x14ac:dyDescent="0.25">
      <c r="A21" s="15"/>
      <c r="B21" s="16"/>
      <c r="C21" s="16"/>
      <c r="D21" s="16"/>
      <c r="E21" s="16"/>
      <c r="F21" s="16"/>
      <c r="G21" s="17"/>
      <c r="I21" s="21"/>
      <c r="J21" s="22"/>
      <c r="K21" s="22"/>
      <c r="L21" s="22"/>
      <c r="M21" s="22"/>
      <c r="N21" s="22"/>
      <c r="O21" s="23"/>
    </row>
    <row r="22" spans="1:15" ht="17" thickBot="1" x14ac:dyDescent="0.25"/>
    <row r="23" spans="1:15" ht="17" thickBot="1" x14ac:dyDescent="0.25">
      <c r="A23" s="1" t="s">
        <v>26</v>
      </c>
      <c r="B23" s="2" t="s">
        <v>27</v>
      </c>
      <c r="C23" s="2"/>
      <c r="D23" s="2"/>
      <c r="E23" s="2"/>
      <c r="F23" s="2"/>
      <c r="G23" s="3"/>
      <c r="I23" s="24" t="s">
        <v>28</v>
      </c>
      <c r="J23" s="25" t="s">
        <v>29</v>
      </c>
      <c r="K23" s="25"/>
      <c r="L23" s="25"/>
      <c r="M23" s="25"/>
      <c r="N23" s="25"/>
      <c r="O23" s="26"/>
    </row>
    <row r="24" spans="1:15" x14ac:dyDescent="0.2">
      <c r="A24" s="7"/>
      <c r="G24" s="8"/>
      <c r="I24" s="9"/>
      <c r="J24" s="10"/>
      <c r="K24" s="10"/>
      <c r="L24" s="10"/>
      <c r="M24" s="10"/>
      <c r="N24" s="10"/>
      <c r="O24" s="11"/>
    </row>
    <row r="25" spans="1:15" x14ac:dyDescent="0.2">
      <c r="A25" s="7" t="s">
        <v>30</v>
      </c>
      <c r="G25" s="8"/>
      <c r="I25" s="12" t="s">
        <v>3</v>
      </c>
      <c r="J25">
        <v>52</v>
      </c>
      <c r="O25" s="13"/>
    </row>
    <row r="26" spans="1:15" ht="17" thickBot="1" x14ac:dyDescent="0.25">
      <c r="A26" s="15"/>
      <c r="B26" s="16"/>
      <c r="C26" s="16"/>
      <c r="D26" s="16"/>
      <c r="E26" s="16"/>
      <c r="F26" s="16"/>
      <c r="G26" s="17"/>
      <c r="I26" s="12" t="s">
        <v>4</v>
      </c>
      <c r="J26">
        <v>9</v>
      </c>
      <c r="L26" t="s">
        <v>5</v>
      </c>
      <c r="M26">
        <f>_xlfn.CONFIDENCE.NORM(J29,J26,J27)</f>
        <v>0.9799819922700268</v>
      </c>
      <c r="O26" s="13"/>
    </row>
    <row r="27" spans="1:15" x14ac:dyDescent="0.2">
      <c r="I27" s="12" t="s">
        <v>6</v>
      </c>
      <c r="J27">
        <v>324</v>
      </c>
      <c r="O27" s="13"/>
    </row>
    <row r="28" spans="1:15" x14ac:dyDescent="0.2">
      <c r="I28" s="12" t="s">
        <v>7</v>
      </c>
      <c r="J28" s="14">
        <v>0.95</v>
      </c>
      <c r="L28" t="s">
        <v>8</v>
      </c>
      <c r="M28">
        <f>52-0.97</f>
        <v>51.03</v>
      </c>
      <c r="O28" s="13"/>
    </row>
    <row r="29" spans="1:15" x14ac:dyDescent="0.2">
      <c r="I29" s="12" t="s">
        <v>10</v>
      </c>
      <c r="J29">
        <v>0.05</v>
      </c>
      <c r="L29" t="s">
        <v>11</v>
      </c>
      <c r="M29">
        <f>52+0.97</f>
        <v>52.97</v>
      </c>
      <c r="O29" s="13"/>
    </row>
    <row r="30" spans="1:15" x14ac:dyDescent="0.2">
      <c r="I30" s="12"/>
      <c r="O30" s="13"/>
    </row>
    <row r="31" spans="1:15" x14ac:dyDescent="0.2">
      <c r="F31" s="27"/>
      <c r="I31" s="12" t="s">
        <v>31</v>
      </c>
      <c r="O31" s="13"/>
    </row>
    <row r="32" spans="1:15" x14ac:dyDescent="0.2">
      <c r="F32" s="27"/>
      <c r="I32" s="12"/>
      <c r="O32" s="13"/>
    </row>
    <row r="33" spans="6:15" x14ac:dyDescent="0.2">
      <c r="F33" s="27"/>
      <c r="I33" s="21"/>
      <c r="J33" s="22"/>
      <c r="K33" s="22"/>
      <c r="L33" s="22"/>
      <c r="M33" s="22"/>
      <c r="N33" s="22"/>
      <c r="O33" s="23"/>
    </row>
    <row r="34" spans="6:15" x14ac:dyDescent="0.2">
      <c r="F34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Martino</dc:creator>
  <cp:lastModifiedBy>Salvatore Martino</cp:lastModifiedBy>
  <dcterms:created xsi:type="dcterms:W3CDTF">2026-07-07T15:50:02Z</dcterms:created>
  <dcterms:modified xsi:type="dcterms:W3CDTF">2026-07-07T15:50:42Z</dcterms:modified>
</cp:coreProperties>
</file>